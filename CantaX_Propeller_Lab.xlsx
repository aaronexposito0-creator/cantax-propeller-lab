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Radial" sheetId="3" state="visible" r:id="rId3"/>
    <sheet xmlns:r="http://schemas.openxmlformats.org/officeDocument/2006/relationships" name="Alternativas" sheetId="4" state="visible" r:id="rId4"/>
    <sheet xmlns:r="http://schemas.openxmlformats.org/officeDocument/2006/relationships" name="Curvas" sheetId="5" state="visible" r:id="rId5"/>
    <sheet xmlns:r="http://schemas.openxmlformats.org/officeDocument/2006/relationships" name="Materiales" sheetId="6" state="visible" r:id="rId6"/>
    <sheet xmlns:r="http://schemas.openxmlformats.org/officeDocument/2006/relationships" name="Verificacion" sheetId="7" state="visible" r:id="rId7"/>
  </sheets>
  <definedNames>
    <definedName name="_xlnm._FilterDatabase" localSheetId="0" hidden="1">'Panel'!$A$5:$D$22</definedName>
    <definedName name="_xlnm._FilterDatabase" localSheetId="1" hidden="1">'Control'!$A$5:$I$30</definedName>
    <definedName name="_xlnm._FilterDatabase" localSheetId="2" hidden="1">'Radial'!$A$5:$J$13</definedName>
    <definedName name="_xlnm._FilterDatabase" localSheetId="3" hidden="1">'Alternativas'!$A$5:$O$5</definedName>
    <definedName name="_xlnm._FilterDatabase" localSheetId="4" hidden="1">'Curvas'!$A$5:$F$5</definedName>
    <definedName name="_xlnm._FilterDatabase" localSheetId="5" hidden="1">'Materiales'!$A$5:$H$8</definedName>
    <definedName name="_xlnm._FilterDatabase" localSheetId="6" hidden="1">'Verificacion'!$A$5:$C$6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15304B"/>
      <sz val="18"/>
    </font>
    <font>
      <name val="Arial"/>
      <b val="1"/>
      <color rgb="00FFFFFF"/>
      <sz val="10"/>
    </font>
    <font>
      <name val="Arial"/>
      <color rgb="00273B4C"/>
      <sz val="10"/>
    </font>
  </fonts>
  <fills count="4">
    <fill>
      <patternFill/>
    </fill>
    <fill>
      <patternFill patternType="gray125"/>
    </fill>
    <fill>
      <patternFill patternType="solid">
        <fgColor rgb="0015304B"/>
      </patternFill>
    </fill>
    <fill>
      <patternFill patternType="solid">
        <fgColor rgb="00FFF0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1" fontId="3" fillId="3" borderId="0" applyAlignment="1" pivotButton="0" quotePrefix="0" xfId="0">
      <alignment vertical="center" wrapText="1"/>
    </xf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21" customWidth="1" min="3" max="3"/>
    <col width="46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Panel</t>
        </is>
      </c>
    </row>
    <row r="2">
      <c r="A2" t="inlineStr">
        <is>
          <t>Calculated preliminary estimates. No measured polar, certified naval assessment or validated 3D CFD.</t>
        </is>
      </c>
    </row>
    <row r="5" ht="32" customHeight="1">
      <c r="A5" s="2" t="inlineStr">
        <is>
          <t>Base result</t>
        </is>
      </c>
      <c r="B5" s="2" t="inlineStr">
        <is>
          <t>Value</t>
        </is>
      </c>
      <c r="C5" s="2" t="inlineStr">
        <is>
          <t>Unit</t>
        </is>
      </c>
      <c r="D5" s="2" t="inlineStr">
        <is>
          <t>Scope</t>
        </is>
      </c>
    </row>
    <row r="6" ht="28" customHeight="1">
      <c r="A6" s="3" t="inlineStr">
        <is>
          <t>Execution</t>
        </is>
      </c>
      <c r="B6" s="3" t="inlineStr">
        <is>
          <t>NOT RUN</t>
        </is>
      </c>
      <c r="C6" s="3" t="inlineStr"/>
      <c r="D6" s="3" t="inlineStr">
        <is>
          <t>Saved run</t>
        </is>
      </c>
    </row>
    <row r="7" ht="28" customHeight="1">
      <c r="A7" s="3" t="inlineStr">
        <is>
          <t>Diameter</t>
        </is>
      </c>
      <c r="B7" s="3" t="n">
        <v>0.3</v>
      </c>
      <c r="C7" s="3" t="inlineStr">
        <is>
          <t>m</t>
        </is>
      </c>
      <c r="D7" s="3" t="inlineStr">
        <is>
          <t>Scenario</t>
        </is>
      </c>
    </row>
    <row r="8" ht="28" customHeight="1">
      <c r="A8" s="3" t="inlineStr">
        <is>
          <t>Thrust</t>
        </is>
      </c>
      <c r="B8" s="3" t="inlineStr">
        <is>
          <t>NOT CALCULATED</t>
        </is>
      </c>
      <c r="C8" s="3" t="inlineStr">
        <is>
          <t>N</t>
        </is>
      </c>
      <c r="D8" s="3" t="inlineStr">
        <is>
          <t>Preliminary BEM</t>
        </is>
      </c>
    </row>
    <row r="9" ht="28" customHeight="1">
      <c r="A9" s="3" t="inlineStr">
        <is>
          <t>Torque</t>
        </is>
      </c>
      <c r="B9" s="3" t="inlineStr">
        <is>
          <t>NOT CALCULATED</t>
        </is>
      </c>
      <c r="C9" s="3" t="inlineStr">
        <is>
          <t>N m</t>
        </is>
      </c>
      <c r="D9" s="3" t="inlineStr">
        <is>
          <t>Preliminary BEM</t>
        </is>
      </c>
    </row>
    <row r="10" ht="28" customHeight="1">
      <c r="A10" s="3" t="inlineStr">
        <is>
          <t>Shaft power</t>
        </is>
      </c>
      <c r="B10" s="3" t="inlineStr">
        <is>
          <t>NOT CALCULATED</t>
        </is>
      </c>
      <c r="C10" s="3" t="inlineStr">
        <is>
          <t>W</t>
        </is>
      </c>
      <c r="D10" s="3" t="inlineStr">
        <is>
          <t>Preliminary BEM</t>
        </is>
      </c>
    </row>
    <row r="11" ht="28" customHeight="1">
      <c r="A11" s="3" t="inlineStr">
        <is>
          <t>Open-water efficiency</t>
        </is>
      </c>
      <c r="B11" s="3" t="inlineStr">
        <is>
          <t>NOT CALCULATED</t>
        </is>
      </c>
      <c r="C11" s="3" t="inlineStr">
        <is>
          <t>1</t>
        </is>
      </c>
      <c r="D11" s="3" t="inlineStr">
        <is>
          <t>Preliminary BEM</t>
        </is>
      </c>
    </row>
    <row r="12" ht="28" customHeight="1">
      <c r="A12" s="3" t="inlineStr">
        <is>
          <t>CAD mass</t>
        </is>
      </c>
      <c r="B12" s="3" t="inlineStr">
        <is>
          <t>NOT CALCULATED</t>
        </is>
      </c>
      <c r="C12" s="3" t="inlineStr">
        <is>
          <t>kg</t>
        </is>
      </c>
      <c r="D12" s="3" t="inlineStr">
        <is>
          <t>Geometry and typical density</t>
        </is>
      </c>
    </row>
    <row r="13" ht="28" customHeight="1">
      <c r="A13" s="3" t="inlineStr">
        <is>
          <t>Screening recommendation</t>
        </is>
      </c>
      <c r="B13" s="3" t="inlineStr">
        <is>
          <t>NOT RANKED</t>
        </is>
      </c>
      <c r="C13" s="3" t="inlineStr"/>
      <c r="D13" s="3" t="inlineStr">
        <is>
          <t>Hydrodynamic/mass/CAD only</t>
        </is>
      </c>
    </row>
    <row r="14" ht="28" customHeight="1">
      <c r="A14" s="3" t="inlineStr">
        <is>
          <t>Structural status</t>
        </is>
      </c>
      <c r="B14" s="3" t="inlineStr">
        <is>
          <t>NOT CALCULATED</t>
        </is>
      </c>
      <c r="C14" s="3" t="inlineStr"/>
      <c r="D14" s="3" t="inlineStr">
        <is>
          <t>Preliminary elastic estimate</t>
        </is>
      </c>
    </row>
    <row r="15" ht="28" customHeight="1">
      <c r="A15" s="3" t="inlineStr">
        <is>
          <t>Physical validation</t>
        </is>
      </c>
      <c r="B15" s="3" t="inlineStr">
        <is>
          <t>UNAVAILABLE</t>
        </is>
      </c>
      <c r="C15" s="3" t="inlineStr"/>
      <c r="D15" s="3" t="inlineStr">
        <is>
          <t>Requires experiments</t>
        </is>
      </c>
    </row>
    <row r="16" ht="28" customHeight="1">
      <c r="A16" s="3" t="inlineStr">
        <is>
          <t>Freshness</t>
        </is>
      </c>
      <c r="B16" s="3" t="inlineStr">
        <is>
          <t>NOT RUN</t>
        </is>
      </c>
      <c r="C16" s="3" t="inlineStr"/>
      <c r="D16" s="3" t="inlineStr">
        <is>
          <t>Edits require a new run</t>
        </is>
      </c>
    </row>
    <row r="17" ht="28" customHeight="1">
      <c r="A17" s="3" t="inlineStr">
        <is>
          <t>Dynamic scenario</t>
        </is>
      </c>
      <c r="B17" s="3" t="inlineStr">
        <is>
          <t>NOT CALCULATED</t>
        </is>
      </c>
      <c r="C17" s="3" t="inlineStr"/>
      <c r="D17" s="3" t="inlineStr">
        <is>
          <t>No forced tracking pass</t>
        </is>
      </c>
    </row>
    <row r="18" ht="28" customHeight="1">
      <c r="A18" s="3" t="inlineStr">
        <is>
          <t>Final requested torque</t>
        </is>
      </c>
      <c r="B18" s="3" t="inlineStr">
        <is>
          <t>NOT CALCULATED</t>
        </is>
      </c>
      <c r="C18" s="3" t="inlineStr">
        <is>
          <t>N m</t>
        </is>
      </c>
      <c r="D18" s="3" t="inlineStr">
        <is>
          <t>Check motor capacity</t>
        </is>
      </c>
    </row>
    <row r="21">
      <c r="A21" t="inlineStr">
        <is>
          <t>Edit Control/Radial → save/close Excel → Start_CantaX.bat → full run.</t>
        </is>
      </c>
    </row>
    <row r="22">
      <c r="A22" t="inlineStr">
        <is>
          <t>No macros, external data connections, remote calls or changes to Office security policy.</t>
        </is>
      </c>
    </row>
  </sheetData>
  <autoFilter ref="A5:D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Control</t>
        </is>
      </c>
    </row>
    <row r="2">
      <c r="A2" t="inlineStr">
        <is>
          <t>Amber inputs. Save and close Excel before launching; all inputs are explicit scenarios.</t>
        </is>
      </c>
    </row>
    <row r="5" ht="32" customHeight="1">
      <c r="A5" s="2" t="inlineStr">
        <is>
          <t>Parameter</t>
        </is>
      </c>
      <c r="B5" s="2" t="inlineStr">
        <is>
          <t>Value</t>
        </is>
      </c>
      <c r="C5" s="2" t="inlineStr">
        <is>
          <t>Unit</t>
        </is>
      </c>
      <c r="D5" s="2" t="inlineStr">
        <is>
          <t>Minimum</t>
        </is>
      </c>
      <c r="E5" s="2" t="inlineStr">
        <is>
          <t>Maximum</t>
        </is>
      </c>
      <c r="F5" s="2" t="inlineStr">
        <is>
          <t>Input check</t>
        </is>
      </c>
      <c r="G5" s="2" t="inlineStr">
        <is>
          <t>Use</t>
        </is>
      </c>
      <c r="H5" s="2" t="inlineStr">
        <is>
          <t>Run input</t>
        </is>
      </c>
      <c r="I5" s="2" t="inlineStr">
        <is>
          <t>Changed since run</t>
        </is>
      </c>
    </row>
    <row r="6" ht="28" customHeight="1">
      <c r="A6" s="3" t="inlineStr">
        <is>
          <t>diameter_m</t>
        </is>
      </c>
      <c r="B6" s="4" t="n">
        <v>0.3</v>
      </c>
      <c r="C6" s="3" t="inlineStr">
        <is>
          <t>m</t>
        </is>
      </c>
      <c r="D6" s="3" t="n">
        <v>0.15</v>
      </c>
      <c r="E6" s="3" t="n">
        <v>0.6</v>
      </c>
      <c r="F6" s="3">
        <f>IF(B6="","MISSING",IF(OR(B6&lt;D6,B6&gt;E6),"OUT OF RANGE","OK"))</f>
        <v/>
      </c>
      <c r="G6" s="3" t="inlineStr">
        <is>
          <t>SCENARIO</t>
        </is>
      </c>
      <c r="H6" s="3" t="n"/>
    </row>
    <row r="7" ht="28" customHeight="1">
      <c r="A7" s="3" t="inlineStr">
        <is>
          <t>blades</t>
        </is>
      </c>
      <c r="B7" s="4" t="n">
        <v>4</v>
      </c>
      <c r="C7" s="3" t="inlineStr">
        <is>
          <t>1</t>
        </is>
      </c>
      <c r="D7" s="3" t="n">
        <v>3</v>
      </c>
      <c r="E7" s="3" t="n">
        <v>5</v>
      </c>
      <c r="F7" s="3">
        <f>IF(B7="","MISSING",IF(OR(B7&lt;D7,B7&gt;E7),"OUT OF RANGE","OK"))</f>
        <v/>
      </c>
      <c r="G7" s="3" t="inlineStr">
        <is>
          <t>SCENARIO</t>
        </is>
      </c>
      <c r="H7" s="3" t="n"/>
    </row>
    <row r="8" ht="28" customHeight="1">
      <c r="A8" s="3" t="inlineStr">
        <is>
          <t>pitch_ratio</t>
        </is>
      </c>
      <c r="B8" s="4" t="n">
        <v>0.8</v>
      </c>
      <c r="C8" s="3" t="inlineStr">
        <is>
          <t>1</t>
        </is>
      </c>
      <c r="D8" s="3" t="n">
        <v>0.5</v>
      </c>
      <c r="E8" s="3" t="n">
        <v>1.1</v>
      </c>
      <c r="F8" s="3">
        <f>IF(B8="","MISSING",IF(OR(B8&lt;D8,B8&gt;E8),"OUT OF RANGE","OK"))</f>
        <v/>
      </c>
      <c r="G8" s="3" t="inlineStr">
        <is>
          <t>SCENARIO</t>
        </is>
      </c>
      <c r="H8" s="3" t="n"/>
    </row>
    <row r="9" ht="28" customHeight="1">
      <c r="A9" s="3" t="inlineStr">
        <is>
          <t>expanded_area_ratio</t>
        </is>
      </c>
      <c r="B9" s="4" t="n">
        <v>0.55</v>
      </c>
      <c r="C9" s="3" t="inlineStr">
        <is>
          <t>1</t>
        </is>
      </c>
      <c r="D9" s="3" t="n">
        <v>0.35</v>
      </c>
      <c r="E9" s="3" t="n">
        <v>0.85</v>
      </c>
      <c r="F9" s="3">
        <f>IF(B9="","MISSING",IF(OR(B9&lt;D9,B9&gt;E9),"OUT OF RANGE","OK"))</f>
        <v/>
      </c>
      <c r="G9" s="3" t="inlineStr">
        <is>
          <t>SCENARIO</t>
        </is>
      </c>
      <c r="H9" s="3" t="n"/>
    </row>
    <row r="10" ht="28" customHeight="1">
      <c r="A10" s="3" t="inlineStr">
        <is>
          <t>thickness_ratio</t>
        </is>
      </c>
      <c r="B10" s="4" t="n">
        <v>0.08</v>
      </c>
      <c r="C10" s="3" t="inlineStr">
        <is>
          <t>1</t>
        </is>
      </c>
      <c r="D10" s="3" t="n">
        <v>0.04</v>
      </c>
      <c r="E10" s="3" t="n">
        <v>0.12</v>
      </c>
      <c r="F10" s="3">
        <f>IF(B10="","MISSING",IF(OR(B10&lt;D10,B10&gt;E10),"OUT OF RANGE","OK"))</f>
        <v/>
      </c>
      <c r="G10" s="3" t="inlineStr">
        <is>
          <t>SCENARIO</t>
        </is>
      </c>
      <c r="H10" s="3" t="n"/>
    </row>
    <row r="11" ht="28" customHeight="1">
      <c r="A11" s="3" t="inlineStr">
        <is>
          <t>skew_deg</t>
        </is>
      </c>
      <c r="B11" s="4" t="n">
        <v>12</v>
      </c>
      <c r="C11" s="3" t="inlineStr">
        <is>
          <t>deg</t>
        </is>
      </c>
      <c r="D11" s="3" t="n">
        <v>0</v>
      </c>
      <c r="E11" s="3" t="n">
        <v>20</v>
      </c>
      <c r="F11" s="3">
        <f>IF(B11="","MISSING",IF(OR(B11&lt;D11,B11&gt;E11),"OUT OF RANGE","OK"))</f>
        <v/>
      </c>
      <c r="G11" s="3" t="inlineStr">
        <is>
          <t>SCENARIO</t>
        </is>
      </c>
      <c r="H11" s="3" t="n"/>
    </row>
    <row r="12" ht="28" customHeight="1">
      <c r="A12" s="3" t="inlineStr">
        <is>
          <t>rake_ratio</t>
        </is>
      </c>
      <c r="B12" s="4" t="n">
        <v>0.04</v>
      </c>
      <c r="C12" s="3" t="inlineStr">
        <is>
          <t>1</t>
        </is>
      </c>
      <c r="D12" s="3" t="n">
        <v>0</v>
      </c>
      <c r="E12" s="3" t="n">
        <v>0.08</v>
      </c>
      <c r="F12" s="3">
        <f>IF(B12="","MISSING",IF(OR(B12&lt;D12,B12&gt;E12),"OUT OF RANGE","OK"))</f>
        <v/>
      </c>
      <c r="G12" s="3" t="inlineStr">
        <is>
          <t>SCENARIO</t>
        </is>
      </c>
      <c r="H12" s="3" t="n"/>
    </row>
    <row r="13" ht="28" customHeight="1">
      <c r="A13" s="3" t="inlineStr">
        <is>
          <t>hub_ratio</t>
        </is>
      </c>
      <c r="B13" s="4" t="n">
        <v>0.2</v>
      </c>
      <c r="C13" s="3" t="inlineStr">
        <is>
          <t>1</t>
        </is>
      </c>
      <c r="D13" s="3" t="n">
        <v>0.18</v>
      </c>
      <c r="E13" s="3" t="n">
        <v>0.28</v>
      </c>
      <c r="F13" s="3">
        <f>IF(B13="","MISSING",IF(OR(B13&lt;D13,B13&gt;E13),"OUT OF RANGE","OK"))</f>
        <v/>
      </c>
      <c r="G13" s="3" t="inlineStr">
        <is>
          <t>SCENARIO</t>
        </is>
      </c>
      <c r="H13" s="3" t="n"/>
    </row>
    <row r="14" ht="28" customHeight="1">
      <c r="A14" s="3" t="inlineStr">
        <is>
          <t>rpm</t>
        </is>
      </c>
      <c r="B14" s="4" t="n">
        <v>900</v>
      </c>
      <c r="C14" s="3" t="inlineStr">
        <is>
          <t>rpm</t>
        </is>
      </c>
      <c r="D14" s="3" t="n">
        <v>500</v>
      </c>
      <c r="E14" s="3" t="n">
        <v>1400</v>
      </c>
      <c r="F14" s="3">
        <f>IF(B14="","MISSING",IF(OR(B14&lt;D14,B14&gt;E14),"OUT OF RANGE","OK"))</f>
        <v/>
      </c>
      <c r="G14" s="3" t="inlineStr">
        <is>
          <t>SCENARIO</t>
        </is>
      </c>
      <c r="H14" s="3" t="n"/>
    </row>
    <row r="15" ht="28" customHeight="1">
      <c r="A15" s="3" t="inlineStr">
        <is>
          <t>advance_mps</t>
        </is>
      </c>
      <c r="B15" s="4" t="n">
        <v>2</v>
      </c>
      <c r="C15" s="3" t="inlineStr">
        <is>
          <t>m/s</t>
        </is>
      </c>
      <c r="D15" s="3" t="n">
        <v>1</v>
      </c>
      <c r="E15" s="3" t="n">
        <v>3</v>
      </c>
      <c r="F15" s="3">
        <f>IF(B15="","MISSING",IF(OR(B15&lt;D15,B15&gt;E15),"OUT OF RANGE","OK"))</f>
        <v/>
      </c>
      <c r="G15" s="3" t="inlineStr">
        <is>
          <t>SCENARIO</t>
        </is>
      </c>
      <c r="H15" s="3" t="n"/>
    </row>
    <row r="16" ht="28" customHeight="1">
      <c r="A16" s="3" t="inlineStr">
        <is>
          <t>available_power_W</t>
        </is>
      </c>
      <c r="B16" s="4" t="n">
        <v>3000</v>
      </c>
      <c r="C16" s="3" t="inlineStr">
        <is>
          <t>W</t>
        </is>
      </c>
      <c r="D16" s="3" t="n">
        <v>100</v>
      </c>
      <c r="E16" s="3" t="n">
        <v>10000</v>
      </c>
      <c r="F16" s="3">
        <f>IF(B16="","MISSING",IF(OR(B16&lt;D16,B16&gt;E16),"OUT OF RANGE","OK"))</f>
        <v/>
      </c>
      <c r="G16" s="3" t="inlineStr">
        <is>
          <t>SCENARIO</t>
        </is>
      </c>
      <c r="H16" s="3" t="n"/>
    </row>
    <row r="17" ht="28" customHeight="1">
      <c r="A17" s="3" t="inlineStr">
        <is>
          <t>required_thrust_N</t>
        </is>
      </c>
      <c r="B17" s="4" t="n">
        <v>100</v>
      </c>
      <c r="C17" s="3" t="inlineStr">
        <is>
          <t>N</t>
        </is>
      </c>
      <c r="D17" s="3" t="n">
        <v>1</v>
      </c>
      <c r="E17" s="3" t="n">
        <v>1000</v>
      </c>
      <c r="F17" s="3">
        <f>IF(B17="","MISSING",IF(OR(B17&lt;D17,B17&gt;E17),"OUT OF RANGE","OK"))</f>
        <v/>
      </c>
      <c r="G17" s="3" t="inlineStr">
        <is>
          <t>SCENARIO</t>
        </is>
      </c>
      <c r="H17" s="3" t="n"/>
    </row>
    <row r="18" ht="28" customHeight="1">
      <c r="A18" s="3" t="inlineStr">
        <is>
          <t>shaft_depth_m</t>
        </is>
      </c>
      <c r="B18" s="4" t="n">
        <v>1.5</v>
      </c>
      <c r="C18" s="3" t="inlineStr">
        <is>
          <t>m</t>
        </is>
      </c>
      <c r="D18" s="3" t="n">
        <v>0.3</v>
      </c>
      <c r="E18" s="3" t="n">
        <v>20</v>
      </c>
      <c r="F18" s="3">
        <f>IF(B18="","MISSING",IF(OR(B18&lt;D18,B18&gt;E18),"OUT OF RANGE","OK"))</f>
        <v/>
      </c>
      <c r="G18" s="3" t="inlineStr">
        <is>
          <t>SCENARIO</t>
        </is>
      </c>
      <c r="H18" s="3" t="n"/>
    </row>
    <row r="19" ht="28" customHeight="1">
      <c r="A19" s="3" t="inlineStr">
        <is>
          <t>salinity_ppt</t>
        </is>
      </c>
      <c r="B19" s="4" t="n">
        <v>35</v>
      </c>
      <c r="C19" s="3" t="inlineStr">
        <is>
          <t>ppt</t>
        </is>
      </c>
      <c r="D19" s="3" t="n">
        <v>0</v>
      </c>
      <c r="E19" s="3" t="n">
        <v>40</v>
      </c>
      <c r="F19" s="3">
        <f>IF(B19="","MISSING",IF(OR(B19&lt;D19,B19&gt;E19),"OUT OF RANGE","OK"))</f>
        <v/>
      </c>
      <c r="G19" s="3" t="inlineStr">
        <is>
          <t>SCENARIO</t>
        </is>
      </c>
      <c r="H19" s="3" t="n"/>
    </row>
    <row r="20" ht="28" customHeight="1">
      <c r="A20" s="3" t="inlineStr">
        <is>
          <t>water_density_kgm3</t>
        </is>
      </c>
      <c r="B20" s="4" t="n">
        <v>1025</v>
      </c>
      <c r="C20" s="3" t="inlineStr">
        <is>
          <t>kg/m³</t>
        </is>
      </c>
      <c r="D20" s="3" t="n">
        <v>990</v>
      </c>
      <c r="E20" s="3" t="n">
        <v>1040</v>
      </c>
      <c r="F20" s="3">
        <f>IF(B20="","MISSING",IF(OR(B20&lt;D20,B20&gt;E20),"OUT OF RANGE","OK"))</f>
        <v/>
      </c>
      <c r="G20" s="3" t="inlineStr">
        <is>
          <t>SCENARIO</t>
        </is>
      </c>
      <c r="H20" s="3" t="n"/>
    </row>
    <row r="21" ht="28" customHeight="1">
      <c r="A21" s="3" t="inlineStr">
        <is>
          <t>water_kinematic_viscosity_m2s</t>
        </is>
      </c>
      <c r="B21" s="5" t="n">
        <v>1.19e-06</v>
      </c>
      <c r="C21" s="3" t="inlineStr">
        <is>
          <t>m²/s</t>
        </is>
      </c>
      <c r="D21" s="3" t="n">
        <v>5e-07</v>
      </c>
      <c r="E21" s="3" t="n">
        <v>2e-06</v>
      </c>
      <c r="F21" s="3">
        <f>IF(B21="","MISSING",IF(OR(B21&lt;D21,B21&gt;E21),"OUT OF RANGE","OK"))</f>
        <v/>
      </c>
      <c r="G21" s="3" t="inlineStr">
        <is>
          <t>SCENARIO</t>
        </is>
      </c>
      <c r="H21" s="3" t="n"/>
    </row>
    <row r="22" ht="28" customHeight="1">
      <c r="A22" s="3" t="inlineStr">
        <is>
          <t>water_vapor_pressure_Pa</t>
        </is>
      </c>
      <c r="B22" s="4" t="n">
        <v>2339</v>
      </c>
      <c r="C22" s="3" t="inlineStr">
        <is>
          <t>Pa</t>
        </is>
      </c>
      <c r="D22" s="3" t="n">
        <v>500</v>
      </c>
      <c r="E22" s="3" t="n">
        <v>10000</v>
      </c>
      <c r="F22" s="3">
        <f>IF(B22="","MISSING",IF(OR(B22&lt;D22,B22&gt;E22),"OUT OF RANGE","OK"))</f>
        <v/>
      </c>
      <c r="G22" s="3" t="inlineStr">
        <is>
          <t>SCENARIO</t>
        </is>
      </c>
      <c r="H22" s="3" t="n"/>
    </row>
    <row r="23" ht="28" customHeight="1">
      <c r="A23" s="3" t="inlineStr">
        <is>
          <t>ambient_pressure_Pa</t>
        </is>
      </c>
      <c r="B23" s="4" t="n">
        <v>101325</v>
      </c>
      <c r="C23" s="3" t="inlineStr">
        <is>
          <t>Pa</t>
        </is>
      </c>
      <c r="D23" s="3" t="n">
        <v>80000</v>
      </c>
      <c r="E23" s="3" t="n">
        <v>110000</v>
      </c>
      <c r="F23" s="3">
        <f>IF(B23="","MISSING",IF(OR(B23&lt;D23,B23&gt;E23),"OUT OF RANGE","OK"))</f>
        <v/>
      </c>
      <c r="G23" s="3" t="inlineStr">
        <is>
          <t>SCENARIO</t>
        </is>
      </c>
      <c r="H23" s="3" t="n"/>
    </row>
    <row r="24" ht="28" customHeight="1">
      <c r="A24" s="3" t="inlineStr">
        <is>
          <t>material</t>
        </is>
      </c>
      <c r="B24" s="4" t="inlineStr">
        <is>
          <t>NAB_C95800</t>
        </is>
      </c>
      <c r="C24" s="3" t="inlineStr">
        <is>
          <t>id</t>
        </is>
      </c>
      <c r="D24" s="3" t="n"/>
      <c r="E24" s="3" t="n"/>
      <c r="F24" s="3">
        <f>IF(B24="","MISSING","CHECK MATERIAL")</f>
        <v/>
      </c>
      <c r="G24" s="3" t="inlineStr">
        <is>
          <t>SCENARIO</t>
        </is>
      </c>
      <c r="H24" s="3" t="n"/>
    </row>
    <row r="25" ht="28" customHeight="1">
      <c r="A25" s="3" t="inlineStr">
        <is>
          <t>maximum_mass_kg</t>
        </is>
      </c>
      <c r="B25" s="4" t="n">
        <v>8</v>
      </c>
      <c r="C25" s="3" t="inlineStr">
        <is>
          <t>kg</t>
        </is>
      </c>
      <c r="D25" s="3" t="n">
        <v>0.1</v>
      </c>
      <c r="E25" s="3" t="n">
        <v>30</v>
      </c>
      <c r="F25" s="3">
        <f>IF(B25="","MISSING",IF(OR(B25&lt;D25,B25&gt;E25),"OUT OF RANGE","OK"))</f>
        <v/>
      </c>
      <c r="G25" s="3" t="inlineStr">
        <is>
          <t>SCENARIO</t>
        </is>
      </c>
      <c r="H25" s="3" t="n"/>
    </row>
    <row r="26" ht="28" customHeight="1">
      <c r="A26" s="3" t="inlineStr">
        <is>
          <t>shaft_inertia_kgm2</t>
        </is>
      </c>
      <c r="B26" s="4" t="n">
        <v>0.05</v>
      </c>
      <c r="C26" s="3" t="inlineStr">
        <is>
          <t>kg·m²</t>
        </is>
      </c>
      <c r="D26" s="3" t="n">
        <v>0.001</v>
      </c>
      <c r="E26" s="3" t="n">
        <v>1</v>
      </c>
      <c r="F26" s="3">
        <f>IF(B26="","MISSING",IF(OR(B26&lt;D26,B26&gt;E26),"OUT OF RANGE","OK"))</f>
        <v/>
      </c>
      <c r="G26" s="3" t="inlineStr">
        <is>
          <t>SCENARIO</t>
        </is>
      </c>
      <c r="H26" s="3" t="n"/>
    </row>
    <row r="27" ht="28" customHeight="1">
      <c r="A27" s="3" t="inlineStr">
        <is>
          <t>kp_Nm_per_radps</t>
        </is>
      </c>
      <c r="B27" s="4" t="n">
        <v>0.6</v>
      </c>
      <c r="C27" s="3" t="inlineStr">
        <is>
          <t>N·m/(rad/s)</t>
        </is>
      </c>
      <c r="D27" s="3" t="n">
        <v>0.01</v>
      </c>
      <c r="E27" s="3" t="n">
        <v>5</v>
      </c>
      <c r="F27" s="3">
        <f>IF(B27="","MISSING",IF(OR(B27&lt;D27,B27&gt;E27),"OUT OF RANGE","OK"))</f>
        <v/>
      </c>
      <c r="G27" s="3" t="inlineStr">
        <is>
          <t>SCENARIO</t>
        </is>
      </c>
      <c r="H27" s="3" t="n"/>
    </row>
    <row r="28" ht="28" customHeight="1">
      <c r="A28" s="3" t="inlineStr">
        <is>
          <t>ki_Nm_per_rad</t>
        </is>
      </c>
      <c r="B28" s="4" t="n">
        <v>0.8</v>
      </c>
      <c r="C28" s="3" t="inlineStr">
        <is>
          <t>N·m/rad</t>
        </is>
      </c>
      <c r="D28" s="3" t="n">
        <v>0.01</v>
      </c>
      <c r="E28" s="3" t="n">
        <v>5</v>
      </c>
      <c r="F28" s="3">
        <f>IF(B28="","MISSING",IF(OR(B28&lt;D28,B28&gt;E28),"OUT OF RANGE","OK"))</f>
        <v/>
      </c>
      <c r="G28" s="3" t="inlineStr">
        <is>
          <t>SCENARIO</t>
        </is>
      </c>
      <c r="H28" s="3" t="n"/>
    </row>
    <row r="29" ht="28" customHeight="1">
      <c r="A29" s="3" t="inlineStr">
        <is>
          <t>motor_torque_limit_Nm</t>
        </is>
      </c>
      <c r="B29" s="4" t="n">
        <v>25</v>
      </c>
      <c r="C29" s="3" t="inlineStr">
        <is>
          <t>N·m</t>
        </is>
      </c>
      <c r="D29" s="3" t="n">
        <v>1</v>
      </c>
      <c r="E29" s="3" t="n">
        <v>100</v>
      </c>
      <c r="F29" s="3">
        <f>IF(B29="","MISSING",IF(OR(B29&lt;D29,B29&gt;E29),"OUT OF RANGE","OK"))</f>
        <v/>
      </c>
      <c r="G29" s="3" t="inlineStr">
        <is>
          <t>SCENARIO</t>
        </is>
      </c>
      <c r="H29" s="3" t="n"/>
    </row>
    <row r="30" ht="28" customHeight="1">
      <c r="A30" s="3" t="inlineStr">
        <is>
          <t>duration_s</t>
        </is>
      </c>
      <c r="B30" s="4" t="n">
        <v>18</v>
      </c>
      <c r="C30" s="3" t="inlineStr">
        <is>
          <t>s</t>
        </is>
      </c>
      <c r="D30" s="3" t="n">
        <v>18</v>
      </c>
      <c r="E30" s="3" t="n">
        <v>60</v>
      </c>
      <c r="F30" s="3">
        <f>IF(B30="","MISSING",IF(OR(B30&lt;D30,B30&gt;E30),"OUT OF RANGE","OK"))</f>
        <v/>
      </c>
      <c r="G30" s="3" t="inlineStr">
        <is>
          <t>SCENARIO</t>
        </is>
      </c>
      <c r="H30" s="3" t="n"/>
    </row>
  </sheetData>
  <autoFilter ref="A5:I30"/>
  <dataValidations count="25">
    <dataValidation sqref="B6" showDropDown="0" showInputMessage="0" showErrorMessage="1" allowBlank="0" error="Choose a value within the demonstration bounds." type="decimal" operator="between">
      <formula1>0.15</formula1>
      <formula2>0.6</formula2>
    </dataValidation>
    <dataValidation sqref="B7" showDropDown="0" showInputMessage="0" showErrorMessage="1" allowBlank="0" error="Choose a value within the demonstration bounds." type="whole" operator="between">
      <formula1>3</formula1>
      <formula2>5</formula2>
    </dataValidation>
    <dataValidation sqref="B8" showDropDown="0" showInputMessage="0" showErrorMessage="1" allowBlank="0" error="Choose a value within the demonstration bounds." type="decimal" operator="between">
      <formula1>0.5</formula1>
      <formula2>1.1</formula2>
    </dataValidation>
    <dataValidation sqref="B9" showDropDown="0" showInputMessage="0" showErrorMessage="1" allowBlank="0" error="Choose a value within the demonstration bounds." type="decimal" operator="between">
      <formula1>0.35</formula1>
      <formula2>0.85</formula2>
    </dataValidation>
    <dataValidation sqref="B10" showDropDown="0" showInputMessage="0" showErrorMessage="1" allowBlank="0" error="Choose a value within the demonstration bounds." type="decimal" operator="between">
      <formula1>0.04</formula1>
      <formula2>0.12</formula2>
    </dataValidation>
    <dataValidation sqref="B11" showDropDown="0" showInputMessage="0" showErrorMessage="1" allowBlank="0" error="Choose a value within the demonstration bounds." type="decimal" operator="between">
      <formula1>0</formula1>
      <formula2>20</formula2>
    </dataValidation>
    <dataValidation sqref="B12" showDropDown="0" showInputMessage="0" showErrorMessage="1" allowBlank="0" error="Choose a value within the demonstration bounds." type="decimal" operator="between">
      <formula1>0</formula1>
      <formula2>0.08</formula2>
    </dataValidation>
    <dataValidation sqref="B13" showDropDown="0" showInputMessage="0" showErrorMessage="1" allowBlank="0" error="Choose a value within the demonstration bounds." type="decimal" operator="between">
      <formula1>0.18</formula1>
      <formula2>0.28</formula2>
    </dataValidation>
    <dataValidation sqref="B14" showDropDown="0" showInputMessage="0" showErrorMessage="1" allowBlank="0" error="Choose a value within the demonstration bounds." type="decimal" operator="between">
      <formula1>500</formula1>
      <formula2>1400</formula2>
    </dataValidation>
    <dataValidation sqref="B15" showDropDown="0" showInputMessage="0" showErrorMessage="1" allowBlank="0" error="Choose a value within the demonstration bounds." type="decimal" operator="between">
      <formula1>1</formula1>
      <formula2>3</formula2>
    </dataValidation>
    <dataValidation sqref="B16" showDropDown="0" showInputMessage="0" showErrorMessage="1" allowBlank="0" error="Choose a value within the demonstration bounds." type="decimal" operator="between">
      <formula1>100</formula1>
      <formula2>10000</formula2>
    </dataValidation>
    <dataValidation sqref="B17" showDropDown="0" showInputMessage="0" showErrorMessage="1" allowBlank="0" error="Choose a value within the demonstration bounds." type="decimal" operator="between">
      <formula1>1</formula1>
      <formula2>1000</formula2>
    </dataValidation>
    <dataValidation sqref="B18" showDropDown="0" showInputMessage="0" showErrorMessage="1" allowBlank="0" error="Choose a value within the demonstration bounds." type="decimal" operator="between">
      <formula1>0.3</formula1>
      <formula2>20</formula2>
    </dataValidation>
    <dataValidation sqref="B19" showDropDown="0" showInputMessage="0" showErrorMessage="1" allowBlank="0" error="Choose a value within the demonstration bounds." type="decimal" operator="between">
      <formula1>0</formula1>
      <formula2>40</formula2>
    </dataValidation>
    <dataValidation sqref="B20" showDropDown="0" showInputMessage="0" showErrorMessage="1" allowBlank="0" error="Choose a value within the demonstration bounds." type="decimal" operator="between">
      <formula1>990</formula1>
      <formula2>1040</formula2>
    </dataValidation>
    <dataValidation sqref="B21" showDropDown="0" showInputMessage="0" showErrorMessage="1" allowBlank="0" error="Choose a value within the demonstration bounds." type="decimal" operator="between">
      <formula1>5e-07</formula1>
      <formula2>2e-06</formula2>
    </dataValidation>
    <dataValidation sqref="B22" showDropDown="0" showInputMessage="0" showErrorMessage="1" allowBlank="0" error="Choose a value within the demonstration bounds." type="decimal" operator="between">
      <formula1>500</formula1>
      <formula2>10000</formula2>
    </dataValidation>
    <dataValidation sqref="B23" showDropDown="0" showInputMessage="0" showErrorMessage="1" allowBlank="0" error="Choose a value within the demonstration bounds." type="decimal" operator="between">
      <formula1>80000</formula1>
      <formula2>110000</formula2>
    </dataValidation>
    <dataValidation sqref="B24" showDropDown="0" showInputMessage="0" showErrorMessage="1" allowBlank="0" error="Choose a value within the demonstration bounds." type="list">
      <formula1>"NAB_C95800,SS316L,AL6061_T6"</formula1>
    </dataValidation>
    <dataValidation sqref="B25" showDropDown="0" showInputMessage="0" showErrorMessage="1" allowBlank="0" error="Choose a value within the demonstration bounds." type="decimal" operator="between">
      <formula1>0.1</formula1>
      <formula2>30</formula2>
    </dataValidation>
    <dataValidation sqref="B26" showDropDown="0" showInputMessage="0" showErrorMessage="1" allowBlank="0" error="Choose a value within the demonstration bounds." type="decimal" operator="between">
      <formula1>0.001</formula1>
      <formula2>1</formula2>
    </dataValidation>
    <dataValidation sqref="B27" showDropDown="0" showInputMessage="0" showErrorMessage="1" allowBlank="0" error="Choose a value within the demonstration bounds." type="decimal" operator="between">
      <formula1>0.01</formula1>
      <formula2>5</formula2>
    </dataValidation>
    <dataValidation sqref="B28" showDropDown="0" showInputMessage="0" showErrorMessage="1" allowBlank="0" error="Choose a value within the demonstration bounds." type="decimal" operator="between">
      <formula1>0.01</formula1>
      <formula2>5</formula2>
    </dataValidation>
    <dataValidation sqref="B29" showDropDown="0" showInputMessage="0" showErrorMessage="1" allowBlank="0" error="Choose a value within the demonstration bounds." type="decimal" operator="between">
      <formula1>1</formula1>
      <formula2>100</formula2>
    </dataValidation>
    <dataValidation sqref="B30" showDropDown="0" showInputMessage="0" showErrorMessage="1" allowBlank="0" error="Choose a value within the demonstration bounds." type="decimal" operator="between">
      <formula1>18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Radial</t>
        </is>
      </c>
    </row>
    <row r="2">
      <c r="A2" t="inlineStr">
        <is>
          <t>Nominal strip chord normalization; CAD tip clipping is accounted for separately.</t>
        </is>
      </c>
    </row>
    <row r="5" ht="32" customHeight="1">
      <c r="A5" s="2" t="inlineStr">
        <is>
          <t>r/R</t>
        </is>
      </c>
      <c r="B5" s="2" t="inlineStr">
        <is>
          <t>Chord weight</t>
        </is>
      </c>
      <c r="C5" s="2" t="inlineStr">
        <is>
          <t>Pitch factor</t>
        </is>
      </c>
      <c r="D5" s="2" t="inlineStr">
        <is>
          <t>Thickness factor</t>
        </is>
      </c>
      <c r="E5" s="2" t="inlineStr">
        <is>
          <t>Skew factor</t>
        </is>
      </c>
      <c r="F5" s="2" t="inlineStr">
        <is>
          <t>Rake factor</t>
        </is>
      </c>
      <c r="G5" s="2" t="inlineStr">
        <is>
          <t>Chord (m)</t>
        </is>
      </c>
      <c r="H5" s="2" t="inlineStr">
        <is>
          <t>Integral (m)</t>
        </is>
      </c>
      <c r="J5" t="inlineStr">
        <is>
          <t>Normalization integral</t>
        </is>
      </c>
    </row>
    <row r="6">
      <c r="A6" s="6" t="n">
        <v>0.18</v>
      </c>
      <c r="B6" s="6" t="n">
        <v>0.38</v>
      </c>
      <c r="C6" s="6" t="n">
        <v>1</v>
      </c>
      <c r="D6" s="6" t="n">
        <v>1.25</v>
      </c>
      <c r="E6" s="6" t="n">
        <v>0</v>
      </c>
      <c r="F6" s="6" t="n">
        <v>0</v>
      </c>
      <c r="G6" s="7">
        <f>B6*Control!$B$9*PI()*Control!$B$6^2/(4*Control!$B$7*$J$6)</f>
        <v/>
      </c>
      <c r="H6" s="7">
        <f>(A7-A6)*(B7+B6)/2*Control!$B$6/2</f>
        <v/>
      </c>
      <c r="J6">
        <f>SUM(H6:H13)</f>
        <v/>
      </c>
    </row>
    <row r="7">
      <c r="A7" s="6" t="n">
        <v>0.3</v>
      </c>
      <c r="B7" s="6" t="n">
        <v>0.75</v>
      </c>
      <c r="C7" s="6" t="n">
        <v>1</v>
      </c>
      <c r="D7" s="6" t="n">
        <v>1.18</v>
      </c>
      <c r="E7" s="6" t="n">
        <v>0.1</v>
      </c>
      <c r="F7" s="6" t="n">
        <v>0.1</v>
      </c>
      <c r="G7" s="7">
        <f>B7*Control!$B$9*PI()*Control!$B$6^2/(4*Control!$B$7*$J$6)</f>
        <v/>
      </c>
      <c r="H7" s="7">
        <f>(A8-A7)*(B8+B7)/2*Control!$B$6/2</f>
        <v/>
      </c>
    </row>
    <row r="8">
      <c r="A8" s="6" t="n">
        <v>0.45</v>
      </c>
      <c r="B8" s="6" t="n">
        <v>1</v>
      </c>
      <c r="C8" s="6" t="n">
        <v>1</v>
      </c>
      <c r="D8" s="6" t="n">
        <v>1.1</v>
      </c>
      <c r="E8" s="6" t="n">
        <v>0.28</v>
      </c>
      <c r="F8" s="6" t="n">
        <v>0.28</v>
      </c>
      <c r="G8" s="7">
        <f>B8*Control!$B$9*PI()*Control!$B$6^2/(4*Control!$B$7*$J$6)</f>
        <v/>
      </c>
      <c r="H8" s="7">
        <f>(A9-A8)*(B9+B8)/2*Control!$B$6/2</f>
        <v/>
      </c>
    </row>
    <row r="9">
      <c r="A9" s="6" t="n">
        <v>0.6</v>
      </c>
      <c r="B9" s="6" t="n">
        <v>1.08</v>
      </c>
      <c r="C9" s="6" t="n">
        <v>1</v>
      </c>
      <c r="D9" s="6" t="n">
        <v>1</v>
      </c>
      <c r="E9" s="6" t="n">
        <v>0.48</v>
      </c>
      <c r="F9" s="6" t="n">
        <v>0.48</v>
      </c>
      <c r="G9" s="7">
        <f>B9*Control!$B$9*PI()*Control!$B$6^2/(4*Control!$B$7*$J$6)</f>
        <v/>
      </c>
      <c r="H9" s="7">
        <f>(A10-A9)*(B10+B9)/2*Control!$B$6/2</f>
        <v/>
      </c>
    </row>
    <row r="10">
      <c r="A10" s="6" t="n">
        <v>0.75</v>
      </c>
      <c r="B10" s="6" t="n">
        <v>0.98</v>
      </c>
      <c r="C10" s="6" t="n">
        <v>1</v>
      </c>
      <c r="D10" s="6" t="n">
        <v>0.88</v>
      </c>
      <c r="E10" s="6" t="n">
        <v>0.7</v>
      </c>
      <c r="F10" s="6" t="n">
        <v>0.7</v>
      </c>
      <c r="G10" s="7">
        <f>B10*Control!$B$9*PI()*Control!$B$6^2/(4*Control!$B$7*$J$6)</f>
        <v/>
      </c>
      <c r="H10" s="7">
        <f>(A11-A10)*(B11+B10)/2*Control!$B$6/2</f>
        <v/>
      </c>
    </row>
    <row r="11">
      <c r="A11" s="6" t="n">
        <v>0.88</v>
      </c>
      <c r="B11" s="6" t="n">
        <v>0.72</v>
      </c>
      <c r="C11" s="6" t="n">
        <v>1</v>
      </c>
      <c r="D11" s="6" t="n">
        <v>0.78</v>
      </c>
      <c r="E11" s="6" t="n">
        <v>0.86</v>
      </c>
      <c r="F11" s="6" t="n">
        <v>0.86</v>
      </c>
      <c r="G11" s="7">
        <f>B11*Control!$B$9*PI()*Control!$B$6^2/(4*Control!$B$7*$J$6)</f>
        <v/>
      </c>
      <c r="H11" s="7">
        <f>(A12-A11)*(B12+B11)/2*Control!$B$6/2</f>
        <v/>
      </c>
    </row>
    <row r="12">
      <c r="A12" s="6" t="n">
        <v>0.97</v>
      </c>
      <c r="B12" s="6" t="n">
        <v>0.32</v>
      </c>
      <c r="C12" s="6" t="n">
        <v>1</v>
      </c>
      <c r="D12" s="6" t="n">
        <v>0.68</v>
      </c>
      <c r="E12" s="6" t="n">
        <v>0.97</v>
      </c>
      <c r="F12" s="6" t="n">
        <v>0.97</v>
      </c>
      <c r="G12" s="7">
        <f>B12*Control!$B$9*PI()*Control!$B$6^2/(4*Control!$B$7*$J$6)</f>
        <v/>
      </c>
      <c r="H12" s="7">
        <f>(A13-A12)*(B13+B12)/2*Control!$B$6/2</f>
        <v/>
      </c>
    </row>
    <row r="13">
      <c r="A13" s="6" t="n">
        <v>1</v>
      </c>
      <c r="B13" s="6" t="n">
        <v>0.08</v>
      </c>
      <c r="C13" s="6" t="n">
        <v>1</v>
      </c>
      <c r="D13" s="6" t="n">
        <v>0.65</v>
      </c>
      <c r="E13" s="6" t="n">
        <v>1</v>
      </c>
      <c r="F13" s="6" t="n">
        <v>1</v>
      </c>
      <c r="G13" s="7">
        <f>B13*Control!$B$9*PI()*Control!$B$6^2/(4*Control!$B$7*$J$6)</f>
        <v/>
      </c>
      <c r="H13" s="7">
        <f>0</f>
        <v/>
      </c>
    </row>
  </sheetData>
  <autoFilter ref="A5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Alternativas</t>
        </is>
      </c>
    </row>
    <row r="5" ht="32" customHeight="1">
      <c r="A5" s="2" t="inlineStr">
        <is>
          <t>ID</t>
        </is>
      </c>
      <c r="B5" s="2" t="inlineStr">
        <is>
          <t>Blades</t>
        </is>
      </c>
      <c r="C5" s="2" t="inlineStr">
        <is>
          <t>P/D</t>
        </is>
      </c>
      <c r="D5" s="2" t="inlineStr">
        <is>
          <t>EAR</t>
        </is>
      </c>
      <c r="E5" s="2" t="inlineStr">
        <is>
          <t>D (m)</t>
        </is>
      </c>
      <c r="F5" s="2" t="inlineStr">
        <is>
          <t>T (N)</t>
        </is>
      </c>
      <c r="G5" s="2" t="inlineStr">
        <is>
          <t>Q (N m)</t>
        </is>
      </c>
      <c r="H5" s="2" t="inlineStr">
        <is>
          <t>P (W)</t>
        </is>
      </c>
      <c r="I5" s="2" t="inlineStr">
        <is>
          <t>Efficiency</t>
        </is>
      </c>
      <c r="J5" s="2" t="inlineStr">
        <is>
          <t>Mass (kg)</t>
        </is>
      </c>
      <c r="K5" s="2" t="inlineStr">
        <is>
          <t>BEM domain</t>
        </is>
      </c>
      <c r="L5" s="2" t="inlineStr">
        <is>
          <t>CAD valid</t>
        </is>
      </c>
      <c r="M5" s="2" t="inlineStr">
        <is>
          <t>Screening feasible</t>
        </is>
      </c>
      <c r="N5" s="2" t="inlineStr">
        <is>
          <t>Rank</t>
        </is>
      </c>
      <c r="O5" s="2" t="inlineStr">
        <is>
          <t>Elastic analysis</t>
        </is>
      </c>
    </row>
  </sheetData>
  <autoFilter ref="A5:O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Curvas</t>
        </is>
      </c>
    </row>
    <row r="5" ht="32" customHeight="1">
      <c r="A5" s="2" t="inlineStr">
        <is>
          <t>J</t>
        </is>
      </c>
      <c r="B5" s="2" t="inlineStr">
        <is>
          <t>KT</t>
        </is>
      </c>
      <c r="C5" s="2" t="inlineStr">
        <is>
          <t>KQ</t>
        </is>
      </c>
      <c r="D5" s="2" t="inlineStr">
        <is>
          <t>Efficiency</t>
        </is>
      </c>
      <c r="E5" s="2" t="inlineStr">
        <is>
          <t>Advance (m/s)</t>
        </is>
      </c>
      <c r="F5" s="2" t="inlineStr">
        <is>
          <t>RPM</t>
        </is>
      </c>
    </row>
  </sheetData>
  <autoFilter ref="A5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64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Materiales</t>
        </is>
      </c>
    </row>
    <row r="5" ht="32" customHeight="1">
      <c r="A5" s="2" t="inlineStr">
        <is>
          <t>ID</t>
        </is>
      </c>
      <c r="B5" s="2" t="inlineStr">
        <is>
          <t>Material</t>
        </is>
      </c>
      <c r="C5" s="2" t="inlineStr">
        <is>
          <t>Density (kg/m3)</t>
        </is>
      </c>
      <c r="D5" s="2" t="inlineStr">
        <is>
          <t>E (GPa)</t>
        </is>
      </c>
      <c r="E5" s="2" t="inlineStr">
        <is>
          <t>Poisson</t>
        </is>
      </c>
      <c r="F5" s="2" t="inlineStr">
        <is>
          <t>Yield (MPa)</t>
        </is>
      </c>
      <c r="G5" s="2" t="inlineStr">
        <is>
          <t>Classification</t>
        </is>
      </c>
      <c r="H5" s="2" t="inlineStr">
        <is>
          <t>Source</t>
        </is>
      </c>
    </row>
    <row r="6" ht="60" customHeight="1">
      <c r="A6" s="3" t="inlineStr">
        <is>
          <t>NAB_C95800</t>
        </is>
      </c>
      <c r="B6" s="3" t="inlineStr">
        <is>
          <t>Bronce níquel-aluminio UNS C95800</t>
        </is>
      </c>
      <c r="C6" s="3" t="n">
        <v>7640</v>
      </c>
      <c r="D6" s="3" t="n">
        <v>113.763495337272</v>
      </c>
      <c r="E6" s="3" t="n">
        <v>0.32</v>
      </c>
      <c r="F6" s="3" t="inlineStr">
        <is>
          <t>UNAVAILABLE</t>
        </is>
      </c>
      <c r="G6" s="3" t="inlineStr">
        <is>
          <t>Typical public property; not certified</t>
        </is>
      </c>
      <c r="H6" s="3" t="inlineStr">
        <is>
          <t>https://alloys.copper.org/alloy/C95800</t>
        </is>
      </c>
    </row>
    <row r="7" ht="60" customHeight="1">
      <c r="A7" s="3" t="inlineStr">
        <is>
          <t>SS316L</t>
        </is>
      </c>
      <c r="B7" s="3" t="inlineStr">
        <is>
          <t>Acero inoxidable 316L / EN 1.4404 (datos de producto plano)</t>
        </is>
      </c>
      <c r="C7" s="3" t="n">
        <v>8000</v>
      </c>
      <c r="D7" s="3" t="n">
        <v>200</v>
      </c>
      <c r="E7" s="3" t="inlineStr">
        <is>
          <t>UNAVAILABLE</t>
        </is>
      </c>
      <c r="F7" s="3" t="inlineStr">
        <is>
          <t>UNAVAILABLE</t>
        </is>
      </c>
      <c r="G7" s="3" t="inlineStr">
        <is>
          <t>Typical public property; not certified</t>
        </is>
      </c>
      <c r="H7" s="3" t="inlineStr">
        <is>
          <t>https://www.outokumpu.com/en/products/product-ranges/-/media/files/products/supra/outokumpu-supra-range-datasheet.pdf?modified=20251117111951&amp;revision=7a909396-d1f3-4d36-9c1c-99606be41fd2</t>
        </is>
      </c>
    </row>
    <row r="8" ht="60" customHeight="1">
      <c r="A8" s="3" t="inlineStr">
        <is>
          <t>AL6061_T6</t>
        </is>
      </c>
      <c r="B8" s="3" t="inlineStr">
        <is>
          <t>Aluminio 6061-T6 (referencia extruida; masa solamente)</t>
        </is>
      </c>
      <c r="C8" s="3" t="n">
        <v>2712.630661599906</v>
      </c>
      <c r="D8" s="3" t="inlineStr">
        <is>
          <t>UNAVAILABLE</t>
        </is>
      </c>
      <c r="E8" s="3" t="inlineStr">
        <is>
          <t>UNAVAILABLE</t>
        </is>
      </c>
      <c r="F8" s="3" t="inlineStr">
        <is>
          <t>UNAVAILABLE</t>
        </is>
      </c>
      <c r="G8" s="3" t="inlineStr">
        <is>
          <t>Typical public property; not certified</t>
        </is>
      </c>
      <c r="H8" s="3" t="inlineStr">
        <is>
          <t>https://www.hydro.com/globalassets/01-products--services/extruded-profiles/americas/ena-resources/alloy-data-sheets/hydro_2019_data_sheet_6061.pdf</t>
        </is>
      </c>
    </row>
  </sheetData>
  <autoFilter ref="A5:H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1" customWidth="1" min="2" max="2"/>
    <col width="10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1" customHeight="1">
      <c r="A1" s="1" t="inlineStr">
        <is>
          <t>CantaX Propeller Lab — Verificacion</t>
        </is>
      </c>
    </row>
    <row r="5" ht="32" customHeight="1">
      <c r="A5" s="2" t="inlineStr">
        <is>
          <t>Stage</t>
        </is>
      </c>
      <c r="B5" s="2" t="inlineStr">
        <is>
          <t>Status</t>
        </is>
      </c>
      <c r="C5" s="2" t="inlineStr">
        <is>
          <t>Evidence / scope</t>
        </is>
      </c>
    </row>
    <row r="6" ht="28" customHeight="1">
      <c r="A6" s="3" t="inlineStr">
        <is>
          <t>Integration</t>
        </is>
      </c>
      <c r="B6" s="3" t="inlineStr">
        <is>
          <t>NOT EXECUTED</t>
        </is>
      </c>
      <c r="C6" s="3" t="inlineStr">
        <is>
          <t>Run the configured native engines to generate new results</t>
        </is>
      </c>
    </row>
  </sheetData>
  <autoFilter ref="A5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CantaX Propeller Lab contributors</dc:creator>
  <dc:title xmlns:dc="http://purl.org/dc/elements/1.1/">Parametric marine propeller preliminary engineering</dc:title>
  <dcterms:created xmlns:dcterms="http://purl.org/dc/terms/" xmlns:xsi="http://www.w3.org/2001/XMLSchema-instance" xsi:type="dcterms:W3CDTF">2026-10-12T21:24:02Z</dcterms:created>
  <dcterms:modified xmlns:dcterms="http://purl.org/dc/terms/" xmlns:xsi="http://www.w3.org/2001/XMLSchema-instance" xsi:type="dcterms:W3CDTF">2026-10-12T21:24:02Z</dcterms:modified>
</cp:coreProperties>
</file>